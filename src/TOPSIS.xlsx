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kyphuc/Downloads/"/>
    </mc:Choice>
  </mc:AlternateContent>
  <bookViews>
    <workbookView xWindow="0" yWindow="500" windowWidth="25600" windowHeight="154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8" i="1" l="1"/>
  <c r="P19" i="1"/>
  <c r="P20" i="1"/>
  <c r="P17" i="1"/>
  <c r="O18" i="1"/>
  <c r="O19" i="1"/>
  <c r="O20" i="1"/>
  <c r="O17" i="1"/>
  <c r="N18" i="1"/>
  <c r="N19" i="1"/>
  <c r="N20" i="1"/>
  <c r="N17" i="1"/>
  <c r="M18" i="1"/>
  <c r="M19" i="1"/>
  <c r="M20" i="1"/>
  <c r="M17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4" i="1"/>
  <c r="K14" i="1"/>
  <c r="J14" i="1"/>
  <c r="L13" i="1"/>
  <c r="K13" i="1"/>
  <c r="J13" i="1"/>
  <c r="L12" i="1"/>
  <c r="K12" i="1"/>
  <c r="J12" i="1"/>
  <c r="L11" i="1"/>
  <c r="K11" i="1"/>
  <c r="J11" i="1"/>
  <c r="L8" i="1"/>
  <c r="K8" i="1"/>
  <c r="J8" i="1"/>
  <c r="I1" i="1"/>
  <c r="A1" i="1"/>
  <c r="H18" i="1"/>
  <c r="H19" i="1"/>
  <c r="H20" i="1"/>
  <c r="H17" i="1"/>
  <c r="G18" i="1"/>
  <c r="G19" i="1"/>
  <c r="G20" i="1"/>
  <c r="G17" i="1"/>
  <c r="F18" i="1"/>
  <c r="F19" i="1"/>
  <c r="F20" i="1"/>
  <c r="F17" i="1"/>
  <c r="E18" i="1"/>
  <c r="E19" i="1"/>
  <c r="E20" i="1"/>
  <c r="E17" i="1"/>
  <c r="C22" i="1"/>
  <c r="D22" i="1"/>
  <c r="B22" i="1"/>
  <c r="C21" i="1"/>
  <c r="D21" i="1"/>
  <c r="B21" i="1"/>
  <c r="C17" i="1"/>
  <c r="D17" i="1"/>
  <c r="C18" i="1"/>
  <c r="D18" i="1"/>
  <c r="C19" i="1"/>
  <c r="D19" i="1"/>
  <c r="C20" i="1"/>
  <c r="D20" i="1"/>
  <c r="B18" i="1"/>
  <c r="B19" i="1"/>
  <c r="B20" i="1"/>
  <c r="B17" i="1"/>
  <c r="C8" i="1"/>
  <c r="D8" i="1"/>
  <c r="B8" i="1"/>
  <c r="C11" i="1"/>
  <c r="D11" i="1"/>
  <c r="C12" i="1"/>
  <c r="D12" i="1"/>
  <c r="C13" i="1"/>
  <c r="D13" i="1"/>
  <c r="C14" i="1"/>
  <c r="D14" i="1"/>
  <c r="B12" i="1"/>
  <c r="B13" i="1"/>
  <c r="B14" i="1"/>
  <c r="B11" i="1"/>
</calcChain>
</file>

<file path=xl/sharedStrings.xml><?xml version="1.0" encoding="utf-8"?>
<sst xmlns="http://schemas.openxmlformats.org/spreadsheetml/2006/main" count="61" uniqueCount="17">
  <si>
    <t>D</t>
  </si>
  <si>
    <t>C</t>
  </si>
  <si>
    <t>R</t>
  </si>
  <si>
    <t>A1</t>
  </si>
  <si>
    <t>A2</t>
  </si>
  <si>
    <t>A3</t>
  </si>
  <si>
    <t>A4</t>
  </si>
  <si>
    <t>Weights</t>
  </si>
  <si>
    <t>Sum of square</t>
  </si>
  <si>
    <t>`Prop</t>
  </si>
  <si>
    <t>PIS</t>
  </si>
  <si>
    <t>NIS</t>
  </si>
  <si>
    <t>PDIS</t>
  </si>
  <si>
    <t>Pdist</t>
  </si>
  <si>
    <t>Ndist</t>
  </si>
  <si>
    <t>C+</t>
  </si>
  <si>
    <t>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</si>
</sst>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topLeftCell="F1" zoomScale="170" zoomScaleNormal="170" zoomScalePageLayoutView="170" workbookViewId="0">
      <pane ySplit="1" topLeftCell="A5" activePane="bottomLeft" state="frozen"/>
      <selection pane="bottomLeft" activeCell="P17" sqref="P17"/>
    </sheetView>
  </sheetViews>
  <sheetFormatPr baseColWidth="10" defaultRowHeight="16" x14ac:dyDescent="0.2"/>
  <cols>
    <col min="1" max="4" width="10.83203125" style="1"/>
  </cols>
  <sheetData>
    <row r="1" spans="1:16" x14ac:dyDescent="0.2">
      <c r="A1" s="1">
        <f>SQRT(SUMPRODUCT(B17:D17-B$21:D$21,B17:D17-B$21:D$21))</f>
        <v>0.11749568082557484</v>
      </c>
      <c r="B1" s="1" t="s">
        <v>0</v>
      </c>
      <c r="C1" s="1" t="s">
        <v>2</v>
      </c>
      <c r="D1" s="1" t="s">
        <v>1</v>
      </c>
      <c r="I1" s="1">
        <f>SQRT(SUMPRODUCT(J17:L17-J$21:L$21,J17:L17-J$21:L$21))</f>
        <v>0.16741402938489827</v>
      </c>
      <c r="J1" s="1" t="s">
        <v>0</v>
      </c>
      <c r="K1" s="1" t="s">
        <v>2</v>
      </c>
      <c r="L1" s="1" t="s">
        <v>1</v>
      </c>
    </row>
    <row r="2" spans="1:16" x14ac:dyDescent="0.2">
      <c r="A2" s="1" t="s">
        <v>3</v>
      </c>
      <c r="B2" s="1">
        <v>5</v>
      </c>
      <c r="C2" s="1">
        <v>8</v>
      </c>
      <c r="D2" s="1">
        <v>4</v>
      </c>
      <c r="F2" s="1"/>
      <c r="I2" s="1" t="s">
        <v>3</v>
      </c>
      <c r="J2" s="1">
        <v>5</v>
      </c>
      <c r="K2" s="1">
        <v>8</v>
      </c>
      <c r="L2" s="1">
        <v>4</v>
      </c>
    </row>
    <row r="3" spans="1:16" x14ac:dyDescent="0.2">
      <c r="A3" s="1" t="s">
        <v>4</v>
      </c>
      <c r="B3" s="1">
        <v>7</v>
      </c>
      <c r="C3" s="1">
        <v>6</v>
      </c>
      <c r="D3" s="1">
        <v>8</v>
      </c>
      <c r="F3" s="1"/>
      <c r="I3" s="1" t="s">
        <v>4</v>
      </c>
      <c r="J3" s="1">
        <v>7</v>
      </c>
      <c r="K3" s="1">
        <v>6</v>
      </c>
      <c r="L3" s="1">
        <v>8</v>
      </c>
    </row>
    <row r="4" spans="1:16" x14ac:dyDescent="0.2">
      <c r="A4" s="1" t="s">
        <v>5</v>
      </c>
      <c r="B4" s="1">
        <v>8</v>
      </c>
      <c r="C4" s="1">
        <v>8</v>
      </c>
      <c r="D4" s="1">
        <v>6</v>
      </c>
      <c r="F4" s="1"/>
      <c r="I4" s="1" t="s">
        <v>5</v>
      </c>
      <c r="J4" s="1">
        <v>8</v>
      </c>
      <c r="K4" s="1">
        <v>8</v>
      </c>
      <c r="L4" s="1">
        <v>6</v>
      </c>
    </row>
    <row r="5" spans="1:16" x14ac:dyDescent="0.2">
      <c r="A5" s="1" t="s">
        <v>6</v>
      </c>
      <c r="B5" s="1">
        <v>7</v>
      </c>
      <c r="C5" s="1">
        <v>4</v>
      </c>
      <c r="D5" s="1">
        <v>6</v>
      </c>
      <c r="F5" s="1"/>
      <c r="I5" s="1" t="s">
        <v>6</v>
      </c>
      <c r="J5" s="1">
        <v>7</v>
      </c>
      <c r="K5" s="1">
        <v>4</v>
      </c>
      <c r="L5" s="1">
        <v>6</v>
      </c>
    </row>
    <row r="6" spans="1:16" x14ac:dyDescent="0.2">
      <c r="A6" s="1" t="s">
        <v>7</v>
      </c>
      <c r="B6" s="1">
        <v>0.3</v>
      </c>
      <c r="C6" s="1">
        <v>0.4</v>
      </c>
      <c r="D6" s="1">
        <v>0.3</v>
      </c>
      <c r="I6" s="1" t="s">
        <v>7</v>
      </c>
      <c r="J6" s="1">
        <v>0.3</v>
      </c>
      <c r="K6" s="1">
        <v>0.4</v>
      </c>
      <c r="L6" s="1">
        <v>0.3</v>
      </c>
    </row>
    <row r="7" spans="1:16" x14ac:dyDescent="0.2">
      <c r="A7" s="1" t="s">
        <v>9</v>
      </c>
      <c r="B7" s="1">
        <v>1</v>
      </c>
      <c r="C7" s="1">
        <v>1</v>
      </c>
      <c r="D7" s="1">
        <v>1</v>
      </c>
      <c r="I7" s="1" t="s">
        <v>9</v>
      </c>
      <c r="J7" s="1">
        <v>1</v>
      </c>
      <c r="K7" s="1">
        <v>-1</v>
      </c>
      <c r="L7" s="1">
        <v>1</v>
      </c>
    </row>
    <row r="8" spans="1:16" x14ac:dyDescent="0.2">
      <c r="A8" s="1" t="s">
        <v>8</v>
      </c>
      <c r="B8" s="1">
        <f>SQRT(SUMPRODUCT(B2:B5,B2:B5))</f>
        <v>13.674794331177344</v>
      </c>
      <c r="C8" s="1">
        <f t="shared" ref="C8:D8" si="0">SQRT(SUMPRODUCT(C2:C5,C2:C5))</f>
        <v>13.416407864998739</v>
      </c>
      <c r="D8" s="1">
        <f t="shared" si="0"/>
        <v>12.328828005937952</v>
      </c>
      <c r="I8" s="1" t="s">
        <v>8</v>
      </c>
      <c r="J8" s="1">
        <f>SQRT(SUMPRODUCT(J2:J5,J2:J5))</f>
        <v>13.674794331177344</v>
      </c>
      <c r="K8" s="1">
        <f t="shared" ref="K8:L8" si="1">SQRT(SUMPRODUCT(K2:K5,K2:K5))</f>
        <v>13.416407864998739</v>
      </c>
      <c r="L8" s="1">
        <f t="shared" si="1"/>
        <v>12.328828005937952</v>
      </c>
    </row>
    <row r="10" spans="1:16" x14ac:dyDescent="0.2">
      <c r="B10" s="1" t="s">
        <v>0</v>
      </c>
      <c r="C10" s="1" t="s">
        <v>2</v>
      </c>
      <c r="D10" s="1" t="s">
        <v>1</v>
      </c>
      <c r="I10" s="1"/>
      <c r="J10" s="1" t="s">
        <v>0</v>
      </c>
      <c r="K10" s="1" t="s">
        <v>2</v>
      </c>
      <c r="L10" s="1" t="s">
        <v>1</v>
      </c>
    </row>
    <row r="11" spans="1:16" x14ac:dyDescent="0.2">
      <c r="A11" s="1" t="s">
        <v>3</v>
      </c>
      <c r="B11" s="1">
        <f>B2/B$8</f>
        <v>0.36563621206356534</v>
      </c>
      <c r="C11" s="1">
        <f t="shared" ref="C11:D11" si="2">C2/C$8</f>
        <v>0.59628479399994394</v>
      </c>
      <c r="D11" s="1">
        <f t="shared" si="2"/>
        <v>0.32444284226152509</v>
      </c>
      <c r="I11" s="1" t="s">
        <v>3</v>
      </c>
      <c r="J11" s="1">
        <f>J2/J$8</f>
        <v>0.36563621206356534</v>
      </c>
      <c r="K11" s="1">
        <f t="shared" ref="K11:L11" si="3">K2/K$8</f>
        <v>0.59628479399994394</v>
      </c>
      <c r="L11" s="1">
        <f t="shared" si="3"/>
        <v>0.32444284226152509</v>
      </c>
    </row>
    <row r="12" spans="1:16" x14ac:dyDescent="0.2">
      <c r="A12" s="1" t="s">
        <v>4</v>
      </c>
      <c r="B12" s="1">
        <f t="shared" ref="B12:D14" si="4">B3/B$8</f>
        <v>0.51189069688899147</v>
      </c>
      <c r="C12" s="1">
        <f t="shared" si="4"/>
        <v>0.44721359549995793</v>
      </c>
      <c r="D12" s="1">
        <f t="shared" si="4"/>
        <v>0.64888568452305018</v>
      </c>
      <c r="I12" s="1" t="s">
        <v>4</v>
      </c>
      <c r="J12" s="1">
        <f t="shared" ref="J12:L12" si="5">J3/J$8</f>
        <v>0.51189069688899147</v>
      </c>
      <c r="K12" s="1">
        <f t="shared" si="5"/>
        <v>0.44721359549995793</v>
      </c>
      <c r="L12" s="1">
        <f t="shared" si="5"/>
        <v>0.64888568452305018</v>
      </c>
    </row>
    <row r="13" spans="1:16" x14ac:dyDescent="0.2">
      <c r="A13" s="1" t="s">
        <v>5</v>
      </c>
      <c r="B13" s="1">
        <f t="shared" si="4"/>
        <v>0.58501793930170454</v>
      </c>
      <c r="C13" s="1">
        <f t="shared" si="4"/>
        <v>0.59628479399994394</v>
      </c>
      <c r="D13" s="1">
        <f t="shared" si="4"/>
        <v>0.48666426339228763</v>
      </c>
      <c r="I13" s="1" t="s">
        <v>5</v>
      </c>
      <c r="J13" s="1">
        <f t="shared" ref="J13:L13" si="6">J4/J$8</f>
        <v>0.58501793930170454</v>
      </c>
      <c r="K13" s="1">
        <f t="shared" si="6"/>
        <v>0.59628479399994394</v>
      </c>
      <c r="L13" s="1">
        <f t="shared" si="6"/>
        <v>0.48666426339228763</v>
      </c>
    </row>
    <row r="14" spans="1:16" x14ac:dyDescent="0.2">
      <c r="A14" s="1" t="s">
        <v>6</v>
      </c>
      <c r="B14" s="1">
        <f t="shared" si="4"/>
        <v>0.51189069688899147</v>
      </c>
      <c r="C14" s="1">
        <f t="shared" si="4"/>
        <v>0.29814239699997197</v>
      </c>
      <c r="D14" s="1">
        <f t="shared" si="4"/>
        <v>0.48666426339228763</v>
      </c>
      <c r="I14" s="1" t="s">
        <v>6</v>
      </c>
      <c r="J14" s="1">
        <f t="shared" ref="J14:L14" si="7">J5/J$8</f>
        <v>0.51189069688899147</v>
      </c>
      <c r="K14" s="1">
        <f t="shared" si="7"/>
        <v>0.29814239699997197</v>
      </c>
      <c r="L14" s="1">
        <f t="shared" si="7"/>
        <v>0.48666426339228763</v>
      </c>
    </row>
    <row r="16" spans="1:16" x14ac:dyDescent="0.2">
      <c r="B16" s="1" t="s">
        <v>0</v>
      </c>
      <c r="C16" s="1" t="s">
        <v>2</v>
      </c>
      <c r="D16" s="1" t="s">
        <v>1</v>
      </c>
      <c r="E16" s="1" t="s">
        <v>13</v>
      </c>
      <c r="F16" s="1" t="s">
        <v>14</v>
      </c>
      <c r="G16" s="1" t="s">
        <v>15</v>
      </c>
      <c r="H16" s="1" t="s">
        <v>16</v>
      </c>
      <c r="I16" s="1"/>
      <c r="J16" s="1" t="s">
        <v>0</v>
      </c>
      <c r="K16" s="1" t="s">
        <v>2</v>
      </c>
      <c r="L16" s="1" t="s">
        <v>1</v>
      </c>
      <c r="M16" s="1" t="s">
        <v>13</v>
      </c>
      <c r="N16" s="1" t="s">
        <v>14</v>
      </c>
      <c r="O16" s="1" t="s">
        <v>15</v>
      </c>
      <c r="P16" s="1" t="s">
        <v>16</v>
      </c>
    </row>
    <row r="17" spans="1:16" x14ac:dyDescent="0.2">
      <c r="A17" s="1" t="s">
        <v>3</v>
      </c>
      <c r="B17" s="1">
        <f>B11*B$6</f>
        <v>0.1096908636190696</v>
      </c>
      <c r="C17" s="1">
        <f t="shared" ref="C17:D17" si="8">C11*C$6</f>
        <v>0.23851391759997759</v>
      </c>
      <c r="D17" s="1">
        <f t="shared" si="8"/>
        <v>9.7332852678457524E-2</v>
      </c>
      <c r="E17">
        <f>SQRT(SUMPRODUCT(B17:D17-B$21:D$21,B17:D17-B$21:D$21))</f>
        <v>0.11749568082557484</v>
      </c>
      <c r="F17">
        <f>SQRT(SUMPRODUCT(B17:D17-B$22:D$22,B17:D17-B$22:D$22))</f>
        <v>0.11925695879998879</v>
      </c>
      <c r="G17">
        <f>F17/(E17+F17)</f>
        <v>0.50371965857951884</v>
      </c>
      <c r="H17">
        <f>E17/(E17+F17)</f>
        <v>0.49628034142048105</v>
      </c>
      <c r="I17" s="1" t="s">
        <v>3</v>
      </c>
      <c r="J17" s="1">
        <f>J11*J$6</f>
        <v>0.1096908636190696</v>
      </c>
      <c r="K17" s="1">
        <f t="shared" ref="K17:L17" si="9">K11*K$6</f>
        <v>0.23851391759997759</v>
      </c>
      <c r="L17" s="1">
        <f t="shared" si="9"/>
        <v>9.7332852678457524E-2</v>
      </c>
      <c r="M17">
        <f>SQRT(SUMPRODUCT(J17:L17-J$21:L$21,J17:L17-J$21:L$21))</f>
        <v>0.16741402938489827</v>
      </c>
      <c r="N17">
        <f>SQRT(SUMPRODUCT(J17:L17-J$22:L$22, J17:L17-J$22:L$22))</f>
        <v>0</v>
      </c>
      <c r="O17">
        <f>N17/(M17+N17)</f>
        <v>0</v>
      </c>
      <c r="P17">
        <f>M17/(M17+N17)</f>
        <v>1</v>
      </c>
    </row>
    <row r="18" spans="1:16" x14ac:dyDescent="0.2">
      <c r="A18" s="1" t="s">
        <v>4</v>
      </c>
      <c r="B18" s="1">
        <f t="shared" ref="B18:D20" si="10">B12*B$6</f>
        <v>0.15356720906669744</v>
      </c>
      <c r="C18" s="1">
        <f t="shared" si="10"/>
        <v>0.17888543819998318</v>
      </c>
      <c r="D18" s="1">
        <f t="shared" si="10"/>
        <v>0.19466570535691505</v>
      </c>
      <c r="E18">
        <f t="shared" ref="E18:E22" si="11">SQRT(SUMPRODUCT(B18:D18-B$21:D$21,B18:D18-B$21:D$21))</f>
        <v>6.353612341035178E-2</v>
      </c>
      <c r="F18">
        <f t="shared" ref="F18:F20" si="12">SQRT(SUMPRODUCT(B18:D18-B$22:D$22,B18:D18-B$22:D$22))</f>
        <v>0.1222880756898294</v>
      </c>
      <c r="G18">
        <f t="shared" ref="G18:G20" si="13">F18/(E18+F18)</f>
        <v>0.65808477196181381</v>
      </c>
      <c r="H18">
        <f t="shared" ref="H18:H20" si="14">E18/(E18+F18)</f>
        <v>0.3419152280381863</v>
      </c>
      <c r="I18" s="1" t="s">
        <v>4</v>
      </c>
      <c r="J18" s="1">
        <f t="shared" ref="J18:L18" si="15">J12*J$6</f>
        <v>0.15356720906669744</v>
      </c>
      <c r="K18" s="1">
        <f t="shared" si="15"/>
        <v>0.17888543819998318</v>
      </c>
      <c r="L18" s="1">
        <f t="shared" si="15"/>
        <v>0.19466570535691505</v>
      </c>
      <c r="M18">
        <f t="shared" ref="M18:M20" si="16">SQRT(SUMPRODUCT(J18:L18-J$21:L$21,J18:L18-J$21:L$21))</f>
        <v>6.3536123410351752E-2</v>
      </c>
      <c r="N18">
        <f t="shared" ref="N18:N20" si="17">SQRT(SUMPRODUCT(J18:L18-J$22:L$22, J18:L18-J$22:L$22))</f>
        <v>0.12228807568982941</v>
      </c>
      <c r="O18">
        <f t="shared" ref="O18:O20" si="18">N18/(M18+N18)</f>
        <v>0.65808477196181381</v>
      </c>
      <c r="P18">
        <f t="shared" ref="P18:P20" si="19">M18/(M18+N18)</f>
        <v>0.34191522803818619</v>
      </c>
    </row>
    <row r="19" spans="1:16" x14ac:dyDescent="0.2">
      <c r="A19" s="1" t="s">
        <v>5</v>
      </c>
      <c r="B19" s="1">
        <f t="shared" si="10"/>
        <v>0.17550538179051137</v>
      </c>
      <c r="C19" s="1">
        <f t="shared" si="10"/>
        <v>0.23851391759997759</v>
      </c>
      <c r="D19" s="1">
        <f t="shared" si="10"/>
        <v>0.14599927901768628</v>
      </c>
      <c r="E19">
        <f t="shared" si="11"/>
        <v>4.8666426339228769E-2</v>
      </c>
      <c r="F19">
        <f t="shared" si="12"/>
        <v>0.14464506240101263</v>
      </c>
      <c r="G19">
        <f t="shared" si="13"/>
        <v>0.74824865994062384</v>
      </c>
      <c r="H19">
        <f t="shared" si="14"/>
        <v>0.25175134005937611</v>
      </c>
      <c r="I19" s="1" t="s">
        <v>5</v>
      </c>
      <c r="J19" s="1">
        <f t="shared" ref="J19:L19" si="20">J13*J$6</f>
        <v>0.17550538179051137</v>
      </c>
      <c r="K19" s="1">
        <f t="shared" si="20"/>
        <v>0.23851391759997759</v>
      </c>
      <c r="L19" s="1">
        <f t="shared" si="20"/>
        <v>0.14599927901768628</v>
      </c>
      <c r="M19">
        <f t="shared" si="16"/>
        <v>0.12880467101333634</v>
      </c>
      <c r="N19">
        <f t="shared" si="17"/>
        <v>8.1853355794192187E-2</v>
      </c>
      <c r="O19">
        <f t="shared" si="18"/>
        <v>0.38856034604833245</v>
      </c>
      <c r="P19">
        <f t="shared" si="19"/>
        <v>0.61143965395166744</v>
      </c>
    </row>
    <row r="20" spans="1:16" x14ac:dyDescent="0.2">
      <c r="A20" s="1" t="s">
        <v>6</v>
      </c>
      <c r="B20" s="1">
        <f t="shared" si="10"/>
        <v>0.15356720906669744</v>
      </c>
      <c r="C20" s="1">
        <f t="shared" si="10"/>
        <v>0.11925695879998879</v>
      </c>
      <c r="D20" s="1">
        <f t="shared" si="10"/>
        <v>0.14599927901768628</v>
      </c>
      <c r="E20">
        <f t="shared" si="11"/>
        <v>0.13065958325861021</v>
      </c>
      <c r="F20">
        <f t="shared" si="12"/>
        <v>6.5525222185591633E-2</v>
      </c>
      <c r="G20">
        <f t="shared" si="13"/>
        <v>0.333997436943342</v>
      </c>
      <c r="H20">
        <f t="shared" si="14"/>
        <v>0.66600256305665795</v>
      </c>
      <c r="I20" s="1" t="s">
        <v>6</v>
      </c>
      <c r="J20" s="1">
        <f t="shared" ref="J20:L20" si="21">J14*J$6</f>
        <v>0.15356720906669744</v>
      </c>
      <c r="K20" s="1">
        <f t="shared" si="21"/>
        <v>0.11925695879998879</v>
      </c>
      <c r="L20" s="1">
        <f t="shared" si="21"/>
        <v>0.14599927901768628</v>
      </c>
      <c r="M20">
        <f t="shared" si="16"/>
        <v>5.3382623344038392E-2</v>
      </c>
      <c r="N20">
        <f t="shared" si="17"/>
        <v>0.13607269000315006</v>
      </c>
      <c r="O20">
        <f t="shared" si="18"/>
        <v>0.71823105722977809</v>
      </c>
      <c r="P20">
        <f t="shared" si="19"/>
        <v>0.28176894277022185</v>
      </c>
    </row>
    <row r="21" spans="1:16" x14ac:dyDescent="0.2">
      <c r="A21" s="1" t="s">
        <v>10</v>
      </c>
      <c r="B21" s="1">
        <f>MAX(B17:B20)</f>
        <v>0.17550538179051137</v>
      </c>
      <c r="C21" s="1">
        <f t="shared" ref="C21:D21" si="22">MAX(C17:C20)</f>
        <v>0.23851391759997759</v>
      </c>
      <c r="D21" s="1">
        <f t="shared" si="22"/>
        <v>0.19466570535691505</v>
      </c>
      <c r="I21" s="1" t="s">
        <v>10</v>
      </c>
      <c r="J21" s="1">
        <f>MAX(J17:J20)</f>
        <v>0.17550538179051137</v>
      </c>
      <c r="K21" s="1">
        <f>MIN(K17:K20)</f>
        <v>0.11925695879998879</v>
      </c>
      <c r="L21" s="1">
        <f>MAX(L17:L20)</f>
        <v>0.19466570535691505</v>
      </c>
    </row>
    <row r="22" spans="1:16" x14ac:dyDescent="0.2">
      <c r="A22" s="1" t="s">
        <v>11</v>
      </c>
      <c r="B22" s="1">
        <f>MIN(B17:B20)</f>
        <v>0.1096908636190696</v>
      </c>
      <c r="C22" s="1">
        <f t="shared" ref="C22:D22" si="23">MIN(C17:C20)</f>
        <v>0.11925695879998879</v>
      </c>
      <c r="D22" s="1">
        <f t="shared" si="23"/>
        <v>9.7332852678457524E-2</v>
      </c>
      <c r="I22" s="1" t="s">
        <v>11</v>
      </c>
      <c r="J22" s="1">
        <f>MIN(J17:J20)</f>
        <v>0.1096908636190696</v>
      </c>
      <c r="K22" s="1">
        <f>MAX(K17:K20)</f>
        <v>0.23851391759997759</v>
      </c>
      <c r="L22" s="1">
        <f>MIN(L17:L20)</f>
        <v>9.7332852678457524E-2</v>
      </c>
    </row>
    <row r="23" spans="1:16" x14ac:dyDescent="0.2">
      <c r="A2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2025-09-16T11:52:37Z</dcterms:created>
  <dcterms:modified xsi:type="dcterms:W3CDTF">2025-09-16T12:41:24Z</dcterms:modified>
</cp:coreProperties>
</file>